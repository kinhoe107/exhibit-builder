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cd9bd3718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656b06e83b06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£#,##0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9"/>
      <x:color rgb="FF52606D"/>
      <x:name val="Carlito"/>
    </x:font>
    <x:font>
      <x:b/>
      <x:sz val="9"/>
      <x:color rgb="FFFFFFFF"/>
      <x:name val="Carlito"/>
    </x:font>
    <x:font>
      <x:sz val="9"/>
      <x:color rgb="FF1F2933"/>
      <x:name val="Carlito"/>
    </x:font>
    <x:font>
      <x:b/>
      <x:sz val="9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2F7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5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a3df718634c02" /><Relationship Type="http://schemas.openxmlformats.org/officeDocument/2006/relationships/theme" Target="/xl/theme/theme1.xml" Id="R84ab000cd6b14b21" /><Relationship Type="http://schemas.openxmlformats.org/officeDocument/2006/relationships/sharedStrings" Target="/xl/sharedStrings.xml" Id="R728121e31bce4066" /><Relationship Type="http://schemas.openxmlformats.org/officeDocument/2006/relationships/worksheet" Target="/xl/worksheets/sheet1.xml" Id="R656b06e83b064c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4" hidden="0" customWidth="1"/>
    <x:col min="4" max="4" width="17" hidden="0" customWidth="1"/>
    <x:col min="5" max="5" width="15" hidden="0" customWidth="1"/>
    <x:col min="6" max="6" width="16" hidden="0" customWidth="1"/>
    <x:col min="7" max="7" width="15" hidden="0" customWidth="1"/>
    <x:col min="8" max="8" width="26" hidden="0" customWidth="1"/>
  </x:cols>
  <x:sheetData>
    <x:row r="1" ht="28" customHeight="1">
      <x:c r="A1" s="4" t="str">
        <x:v>Payment Ledger to 31 March 2026</x:v>
      </x:c>
    </x:row>
    <x:row r="2" ht="24" customHeight="1">
      <x:c r="A2" s="9" t="str">
        <x:v>Moorland Battery Storage Limited | Contract payments and disputed commissioning milestone</x:v>
      </x:c>
    </x:row>
    <x:row r="4" ht="28" customHeight="1">
      <x:c r="A4" s="15" t="str">
        <x:v>Entry</x:v>
      </x:c>
      <x:c r="B4" s="15" t="str">
        <x:v>Milestone</x:v>
      </x:c>
      <x:c r="C4" s="15" t="str">
        <x:v>Due date</x:v>
      </x:c>
      <x:c r="D4" s="15" t="str">
        <x:v>Invoiced (GBP)</x:v>
      </x:c>
      <x:c r="E4" s="15" t="str">
        <x:v>Paid (GBP)</x:v>
      </x:c>
      <x:c r="F4" s="15" t="str">
        <x:v>Withheld (GBP)</x:v>
      </x:c>
      <x:c r="G4" s="15" t="str">
        <x:v>Status</x:v>
      </x:c>
      <x:c r="H4" s="15" t="str">
        <x:v>Reference</x:v>
      </x:c>
    </x:row>
    <x:row r="5">
      <x:c r="A5" s="19" t="n">
        <x:v>1</x:v>
      </x:c>
      <x:c r="B5" s="19" t="str">
        <x:v>Mobilisation</x:v>
      </x:c>
      <x:c r="C5" s="22" t="n">
        <x:v>45996</x:v>
      </x:c>
      <x:c r="D5" s="23" t="n">
        <x:v>180000</x:v>
      </x:c>
      <x:c r="E5" s="23" t="n">
        <x:v>180000</x:v>
      </x:c>
      <x:c r="F5" s="23" t="n">
        <x:f>D5-E5</x:f>
        <x:v>0</x:v>
      </x:c>
      <x:c r="G5" s="19" t="str">
        <x:v>Paid</x:v>
      </x:c>
      <x:c r="H5" s="19" t="str">
        <x:v>Payment certificate 01</x:v>
      </x:c>
    </x:row>
    <x:row r="6">
      <x:c r="A6" s="19" t="n">
        <x:v>2</x:v>
      </x:c>
      <x:c r="B6" s="19" t="str">
        <x:v>Design release</x:v>
      </x:c>
      <x:c r="C6" s="22" t="n">
        <x:v>46010</x:v>
      </x:c>
      <x:c r="D6" s="23" t="n">
        <x:v>240000</x:v>
      </x:c>
      <x:c r="E6" s="23" t="n">
        <x:v>240000</x:v>
      </x:c>
      <x:c r="F6" s="23" t="n">
        <x:f>D6-E6</x:f>
        <x:v>0</x:v>
      </x:c>
      <x:c r="G6" s="19" t="str">
        <x:v>Paid</x:v>
      </x:c>
      <x:c r="H6" s="19" t="str">
        <x:v>Payment certificate 02</x:v>
      </x:c>
    </x:row>
    <x:row r="7">
      <x:c r="A7" s="19" t="n">
        <x:v>3</x:v>
      </x:c>
      <x:c r="B7" s="19" t="str">
        <x:v>Equipment lot 1</x:v>
      </x:c>
      <x:c r="C7" s="22" t="n">
        <x:v>46045</x:v>
      </x:c>
      <x:c r="D7" s="23" t="n">
        <x:v>420000</x:v>
      </x:c>
      <x:c r="E7" s="23" t="n">
        <x:v>420000</x:v>
      </x:c>
      <x:c r="F7" s="23" t="n">
        <x:f>D7-E7</x:f>
        <x:v>0</x:v>
      </x:c>
      <x:c r="G7" s="19" t="str">
        <x:v>Paid</x:v>
      </x:c>
      <x:c r="H7" s="19" t="str">
        <x:v>Payment certificate 03</x:v>
      </x:c>
    </x:row>
    <x:row r="8">
      <x:c r="A8" s="19" t="n">
        <x:v>4</x:v>
      </x:c>
      <x:c r="B8" s="19" t="str">
        <x:v>Equipment lot 2</x:v>
      </x:c>
      <x:c r="C8" s="22" t="n">
        <x:v>46065</x:v>
      </x:c>
      <x:c r="D8" s="23" t="n">
        <x:v>380000</x:v>
      </x:c>
      <x:c r="E8" s="23" t="n">
        <x:v>320000</x:v>
      </x:c>
      <x:c r="F8" s="23" t="n">
        <x:f>D8-E8</x:f>
        <x:v>60000</x:v>
      </x:c>
      <x:c r="G8" s="19" t="str">
        <x:v>Part paid</x:v>
      </x:c>
      <x:c r="H8" s="19" t="str">
        <x:v>Payment certificate 04</x:v>
      </x:c>
    </x:row>
    <x:row r="9">
      <x:c r="A9" s="19" t="n">
        <x:v>5</x:v>
      </x:c>
      <x:c r="B9" s="19" t="str">
        <x:v>Commissioning milestone</x:v>
      </x:c>
      <x:c r="C9" s="22" t="n">
        <x:v>46081</x:v>
      </x:c>
      <x:c r="D9" s="23" t="n">
        <x:v>275000</x:v>
      </x:c>
      <x:c r="E9" s="23" t="n">
        <x:v>0</x:v>
      </x:c>
      <x:c r="F9" s="23" t="n">
        <x:f>D9-E9</x:f>
        <x:v>275000</x:v>
      </x:c>
      <x:c r="G9" s="19" t="str">
        <x:v>Disputed</x:v>
      </x:c>
      <x:c r="H9" s="19" t="str">
        <x:v>Invoice 0461</x:v>
      </x:c>
    </x:row>
    <x:row r="10">
      <x:c r="A10" s="19" t="n">
        <x:v>6</x:v>
      </x:c>
      <x:c r="B10" s="19" t="str">
        <x:v>Readiness milestone</x:v>
      </x:c>
      <x:c r="C10" s="22" t="n">
        <x:v>46112</x:v>
      </x:c>
      <x:c r="D10" s="23" t="n">
        <x:v>325000</x:v>
      </x:c>
      <x:c r="E10" s="23" t="n">
        <x:v>0</x:v>
      </x:c>
      <x:c r="F10" s="23" t="n">
        <x:f>D10-E10</x:f>
        <x:v>325000</x:v>
      </x:c>
      <x:c r="G10" s="19" t="str">
        <x:v>Not due</x:v>
      </x:c>
      <x:c r="H10" s="19" t="str">
        <x:v>Contract schedule</x:v>
      </x:c>
    </x:row>
    <x:row r="11">
      <x:c r="A11" s="21" t="str"/>
      <x:c r="B11" s="21" t="str">
        <x:v>Total</x:v>
      </x:c>
      <x:c r="C11" s="21" t="str"/>
      <x:c r="D11" s="24" t="n">
        <x:f>SUM(D5:D10)</x:f>
        <x:v>1820000</x:v>
      </x:c>
      <x:c r="E11" s="24" t="n">
        <x:f>SUM(E5:E10)</x:f>
        <x:v>1160000</x:v>
      </x:c>
      <x:c r="F11" s="24" t="n">
        <x:f>SUM(F5:F10)</x:f>
        <x:v>660000</x:v>
      </x:c>
      <x:c r="G11" s="21"/>
      <x:c r="H11" s="21"/>
    </x:row>
  </x:sheetData>
  <x:mergeCells>
    <x:mergeCell ref="A1:H1"/>
    <x:mergeCell ref="A2:H2"/>
  </x:mergeCells>
  <x:conditionalFormatting sqref="G5:G10">
    <x:cfRule type="containsText" dxfId="0" priority="1" operator="containsText" text="Disputed"/>
  </x:conditionalFormatting>
  <x:pageMargins left="0.7" right="0.7" top="0.75" bottom="0.75" header="0.3" footer="0.3"/>
</x:worksheet>
</file>